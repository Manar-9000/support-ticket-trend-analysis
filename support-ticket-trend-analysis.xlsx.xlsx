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0" documentId="8_{4CD2DCD1-108E-4ADF-A77F-C9FAA021E704}" xr6:coauthVersionLast="47" xr6:coauthVersionMax="47" xr10:uidLastSave="{00000000-0000-0000-0000-000000000000}"/>
  <bookViews>
    <workbookView xWindow="240" yWindow="105" windowWidth="14805" windowHeight="8010" xr2:uid="{00000000-000D-0000-FFFF-FFFF00000000}"/>
  </bookViews>
  <sheets>
    <sheet name="Summary" sheetId="3" r:id="rId1"/>
    <sheet name="Sheet2" sheetId="2" r:id="rId2"/>
    <sheet name="Sheet1" sheetId="1" r:id="rId3"/>
  </sheets>
  <definedNames>
    <definedName name="_xlnm._FilterDatabase" localSheetId="2" hidden="1">Sheet1!$A$1:$F$1</definedName>
  </definedNames>
  <calcPr calcId="191028"/>
  <pivotCaches>
    <pivotCache cacheId="87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<sst xmlns="http://schemas.openxmlformats.org/spreadsheetml/2006/main" count="124" uniqueCount="55">
  <si>
    <t>Support Ticket Trend Analysis
Overview
Analysis of 35 sample IT support tickets to identify recurring 
issue patterns and recommend documentation/training improvements.
Method
- Filtered and sorted ticket data by category and resolution time
- Built a pivot table to analyze ticket frequency and average 
  resolution time by category
Key Finding
Account Lockout issues represent the largest category, accounting 
for 13 of 35 tickets (37%), with a relatively low average resolution 
time of approximately 0.5 hours per ticket. While individually quick 
to resolve, the high frequency suggests a recurring user education 
gap around password policies and self-service reset options.
Recommendation
Create a self-service knowledge base article and short training 
video covering password reset and account unlock procedures. This 
could reduce repeat tickets in this category and free up support 
time for more complex issues like Software Bugs, which had the 
highest average resolution time (~3.1 hours).
Tools Used
Microsoft Excel - filtering, sorting, pivot tables</t>
  </si>
  <si>
    <t>Category</t>
  </si>
  <si>
    <t>Average of Resolution Time (Hrs)</t>
  </si>
  <si>
    <t>Count of Ticket ID</t>
  </si>
  <si>
    <t xml:space="preserve">Account Lockout </t>
  </si>
  <si>
    <t>Account Lockout</t>
  </si>
  <si>
    <t>DNS/Network Access</t>
  </si>
  <si>
    <t>Permissions Request</t>
  </si>
  <si>
    <t>Printer Issue</t>
  </si>
  <si>
    <t>Software Bug</t>
  </si>
  <si>
    <t>Training Question</t>
  </si>
  <si>
    <t>(blank)</t>
  </si>
  <si>
    <t>Grand Total</t>
  </si>
  <si>
    <t>Ticket ID</t>
  </si>
  <si>
    <t>Date</t>
  </si>
  <si>
    <t>Issue Description</t>
  </si>
  <si>
    <t>Resolution Time (Hrs)</t>
  </si>
  <si>
    <t>Status</t>
  </si>
  <si>
    <t>Application crashes when generating report</t>
  </si>
  <si>
    <t>Resolved</t>
  </si>
  <si>
    <t>Application freezes during data entry</t>
  </si>
  <si>
    <t>Excel crashes on file open</t>
  </si>
  <si>
    <t>VPN connection fails intermittently</t>
  </si>
  <si>
    <t>Network printer not printing for finance team</t>
  </si>
  <si>
    <t>Cannot connect to internal application</t>
  </si>
  <si>
    <t>Report formatting incorrect after update</t>
  </si>
  <si>
    <t>User cannot access shared drive</t>
  </si>
  <si>
    <t>ccount</t>
  </si>
  <si>
    <t>Print jobs stuck in queue</t>
  </si>
  <si>
    <t>New hire needs system access</t>
  </si>
  <si>
    <t>Driver error on new printer install</t>
  </si>
  <si>
    <t>Cannot reach internal site</t>
  </si>
  <si>
    <t>Slow connection to shared resources</t>
  </si>
  <si>
    <t>User needs access to shared folder</t>
  </si>
  <si>
    <t>Printer offline error</t>
  </si>
  <si>
    <t>Confusion over new workflow steps</t>
  </si>
  <si>
    <t>Print quality issue, faded output</t>
  </si>
  <si>
    <t>New employee onboarding questions</t>
  </si>
  <si>
    <t>Manager requesting team folder access</t>
  </si>
  <si>
    <t xml:space="preserve"> User locked out after failed login attempts</t>
  </si>
  <si>
    <t>Password expired, account locked</t>
  </si>
  <si>
    <t>Locked out after VPN password change</t>
  </si>
  <si>
    <t>User unsure how to use new reporting tool</t>
  </si>
  <si>
    <t>Account locked, too many failed attempts</t>
  </si>
  <si>
    <t>User forgot password, account locked</t>
  </si>
  <si>
    <t>Locked out after password reset</t>
  </si>
  <si>
    <t>How to export report to Excel</t>
  </si>
  <si>
    <t>Account locked overnight</t>
  </si>
  <si>
    <t>Forgot password after long weekend</t>
  </si>
  <si>
    <t>Access removal for departing employee</t>
  </si>
  <si>
    <t>Locked out, password policy confusion</t>
  </si>
  <si>
    <t>Multiple failed login attempts</t>
  </si>
  <si>
    <t>Password reset link expired</t>
  </si>
  <si>
    <t>Locked out after MFA setup</t>
  </si>
  <si>
    <t>Locked out, unsure of new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</si>
</sst>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4" fontId="0" fillId="0" borderId="0" xfId="0" applyNumberFormat="1"/>
    <xf numFmtId="0" fontId="1" fillId="2" borderId="0" xfId="0" applyFont="1" applyFill="1"/>
    <xf numFmtId="0" fontId="0" fillId="0" borderId="0" xfId="0" pivotButton="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609314120367" createdVersion="8" refreshedVersion="8" minRefreshableVersion="3" recordCount="36" xr:uid="{4E47010A-FEE2-466D-8F31-577DF570BE31}">
  <cacheSource type="worksheet">
    <worksheetSource ref="A1:F1048576" sheet="Sheet1"/>
  </cacheSource>
  <cacheFields count="6">
    <cacheField name="Ticket ID" numFmtId="0">
      <sharedItems containsString="0" containsBlank="1" containsNumber="1" containsInteger="1" minValue="1001" maxValue="1035"/>
    </cacheField>
    <cacheField name="Date" numFmtId="0">
      <sharedItems containsNonDate="0" containsDate="1" containsString="0" containsBlank="1" minDate="2026-01-05T00:00:00" maxDate="2026-01-29T00:00:00"/>
    </cacheField>
    <cacheField name="Category" numFmtId="0">
      <sharedItems containsBlank="1" count="8">
        <s v="Software Bug"/>
        <s v="DNS/Network Access"/>
        <s v="Printer Issue"/>
        <s v="Permissions Request"/>
        <s v="Training Question"/>
        <s v="Account Lockout "/>
        <s v="Account Lockout"/>
        <m/>
      </sharedItems>
    </cacheField>
    <cacheField name="Issue Description" numFmtId="0">
      <sharedItems containsBlank="1"/>
    </cacheField>
    <cacheField name="Resolution Time (Hrs)" numFmtId="0">
      <sharedItems containsString="0" containsBlank="1" containsNumber="1" minValue="0.5" maxValue="4"/>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005"/>
    <d v="2026-01-07T00:00:00"/>
    <x v="0"/>
    <s v="Application crashes when generating report"/>
    <n v="4"/>
    <s v="Resolved"/>
  </r>
  <r>
    <n v="1029"/>
    <d v="2026-01-23T00:00:00"/>
    <x v="0"/>
    <s v="Application freezes during data entry"/>
    <n v="3.5"/>
    <s v="Resolved"/>
  </r>
  <r>
    <n v="1013"/>
    <d v="2026-01-13T00:00:00"/>
    <x v="0"/>
    <s v="Excel crashes on file open"/>
    <n v="3"/>
    <s v="Resolved"/>
  </r>
  <r>
    <n v="1018"/>
    <d v="2026-01-15T00:00:00"/>
    <x v="1"/>
    <s v="VPN connection fails intermittently"/>
    <n v="2.5"/>
    <s v="Resolved"/>
  </r>
  <r>
    <n v="1002"/>
    <d v="2026-01-05T00:00:00"/>
    <x v="2"/>
    <s v="Network printer not printing for finance team"/>
    <n v="2"/>
    <s v="Resolved"/>
  </r>
  <r>
    <n v="1011"/>
    <d v="2026-01-12T00:00:00"/>
    <x v="1"/>
    <s v="Cannot connect to internal application"/>
    <n v="2"/>
    <s v="Resolved"/>
  </r>
  <r>
    <n v="1021"/>
    <d v="2026-01-19T00:00:00"/>
    <x v="0"/>
    <s v="Report formatting incorrect after update"/>
    <n v="2"/>
    <s v="Resolved"/>
  </r>
  <r>
    <n v="1003"/>
    <d v="2026-01-06T00:00:00"/>
    <x v="1"/>
    <s v="User cannot access shared drive"/>
    <n v="1.5"/>
    <s v="Resolved"/>
  </r>
  <r>
    <n v="1009"/>
    <d v="2026-01-09T00:00:00"/>
    <x v="2"/>
    <s v="Print jobs stuck in queue"/>
    <n v="1.5"/>
    <s v="Resolved"/>
  </r>
  <r>
    <n v="1015"/>
    <d v="2026-01-14T00:00:00"/>
    <x v="3"/>
    <s v="New hire needs system access"/>
    <n v="1.5"/>
    <s v="Resolved"/>
  </r>
  <r>
    <n v="1020"/>
    <d v="2026-01-17T00:00:00"/>
    <x v="2"/>
    <s v="Driver error on new printer install"/>
    <n v="1.5"/>
    <s v="Resolved"/>
  </r>
  <r>
    <n v="1026"/>
    <d v="2026-01-21T00:00:00"/>
    <x v="1"/>
    <s v="Cannot reach internal site"/>
    <n v="1.5"/>
    <s v="Resolved"/>
  </r>
  <r>
    <n v="1034"/>
    <d v="2026-01-27T00:00:00"/>
    <x v="1"/>
    <s v="Slow connection to shared resources"/>
    <n v="1.5"/>
    <s v="Resolved"/>
  </r>
  <r>
    <n v="1006"/>
    <d v="2026-01-07T00:00:00"/>
    <x v="3"/>
    <s v="User needs access to shared folder"/>
    <n v="1"/>
    <s v="Resolved"/>
  </r>
  <r>
    <n v="1014"/>
    <d v="2026-01-13T00:00:00"/>
    <x v="2"/>
    <s v="Printer offline error"/>
    <n v="1"/>
    <s v="Resolved"/>
  </r>
  <r>
    <n v="1024"/>
    <d v="2026-01-20T00:00:00"/>
    <x v="4"/>
    <s v="Confusion over new workflow steps"/>
    <n v="1"/>
    <s v="Resolved"/>
  </r>
  <r>
    <n v="1027"/>
    <d v="2026-01-22T00:00:00"/>
    <x v="2"/>
    <s v="Print quality issue, faded output"/>
    <n v="1"/>
    <s v="Resolved"/>
  </r>
  <r>
    <n v="1031"/>
    <d v="2026-01-26T00:00:00"/>
    <x v="4"/>
    <s v="New employee onboarding questions"/>
    <n v="1"/>
    <s v="Resolved"/>
  </r>
  <r>
    <n v="1033"/>
    <d v="2026-01-27T00:00:00"/>
    <x v="3"/>
    <s v="Manager requesting team folder access"/>
    <n v="1"/>
    <s v="Resolved"/>
  </r>
  <r>
    <n v="1001"/>
    <d v="2026-01-05T00:00:00"/>
    <x v="5"/>
    <s v=" User locked out after failed login attempts"/>
    <n v="0.5"/>
    <s v="Resolved"/>
  </r>
  <r>
    <n v="1004"/>
    <d v="2026-01-06T00:00:00"/>
    <x v="6"/>
    <s v="Password expired, account locked"/>
    <n v="0.5"/>
    <s v="Resolved"/>
  </r>
  <r>
    <n v="1007"/>
    <d v="2026-01-08T00:00:00"/>
    <x v="6"/>
    <s v="Locked out after VPN password change"/>
    <n v="0.5"/>
    <s v="Resolved"/>
  </r>
  <r>
    <n v="1008"/>
    <d v="2026-01-08T00:00:00"/>
    <x v="4"/>
    <s v="User unsure how to use new reporting tool"/>
    <n v="0.5"/>
    <s v="Resolved"/>
  </r>
  <r>
    <n v="1010"/>
    <d v="2026-01-09T00:00:00"/>
    <x v="6"/>
    <s v="Account locked, too many failed attempts"/>
    <n v="0.5"/>
    <s v="Resolved"/>
  </r>
  <r>
    <n v="1012"/>
    <d v="2026-01-12T00:00:00"/>
    <x v="6"/>
    <s v="User forgot password, account locked"/>
    <n v="0.5"/>
    <s v="Resolved"/>
  </r>
  <r>
    <n v="1016"/>
    <d v="2026-01-14T00:00:00"/>
    <x v="6"/>
    <s v="Locked out after password reset"/>
    <n v="0.5"/>
    <s v="Resolved"/>
  </r>
  <r>
    <n v="1017"/>
    <d v="2026-01-15T00:00:00"/>
    <x v="4"/>
    <s v="How to export report to Excel"/>
    <n v="0.5"/>
    <s v="Resolved"/>
  </r>
  <r>
    <n v="1019"/>
    <d v="2026-01-16T00:00:00"/>
    <x v="6"/>
    <s v="Account locked overnight"/>
    <n v="0.5"/>
    <s v="Resolved"/>
  </r>
  <r>
    <n v="1022"/>
    <d v="2026-01-19T00:00:00"/>
    <x v="6"/>
    <s v="Forgot password after long weekend"/>
    <n v="0.5"/>
    <s v="Resolved"/>
  </r>
  <r>
    <n v="1023"/>
    <d v="2026-01-20T00:00:00"/>
    <x v="3"/>
    <s v="Access removal for departing employee"/>
    <n v="0.5"/>
    <s v="Resolved"/>
  </r>
  <r>
    <n v="1025"/>
    <d v="2026-01-21T00:00:00"/>
    <x v="6"/>
    <s v="Locked out, password policy confusion"/>
    <n v="0.5"/>
    <s v="Resolved"/>
  </r>
  <r>
    <n v="1028"/>
    <d v="2026-01-22T00:00:00"/>
    <x v="6"/>
    <s v="Multiple failed login attempts"/>
    <n v="0.5"/>
    <s v="Resolved"/>
  </r>
  <r>
    <n v="1030"/>
    <d v="2026-01-23T00:00:00"/>
    <x v="6"/>
    <s v="Password reset link expired"/>
    <n v="0.5"/>
    <s v="Resolved"/>
  </r>
  <r>
    <n v="1032"/>
    <d v="2026-01-26T00:00:00"/>
    <x v="6"/>
    <s v="Locked out after MFA setup"/>
    <n v="0.5"/>
    <s v="Resolved"/>
  </r>
  <r>
    <n v="1035"/>
    <d v="2026-01-28T00:00:00"/>
    <x v="6"/>
    <s v="Locked out, unsure of new password"/>
    <n v="0.5"/>
    <s v="Resolved"/>
  </r>
  <r>
    <m/>
    <m/>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A0440C-56E9-4499-8C3B-A1581216FE45}" name="PivotTable1" cacheId="8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2" firstHeaderRow="0" firstDataRow="1" firstDataCol="1"/>
  <pivotFields count="6">
    <pivotField dataField="1" compact="0" outline="0" showAll="0"/>
    <pivotField compact="0" outline="0" showAll="0"/>
    <pivotField axis="axisRow" compact="0" outline="0" showAll="0">
      <items count="9">
        <item x="5"/>
        <item x="6"/>
        <item x="1"/>
        <item x="3"/>
        <item x="2"/>
        <item x="0"/>
        <item x="4"/>
        <item x="7"/>
        <item t="default"/>
      </items>
    </pivotField>
    <pivotField compact="0" outline="0" showAll="0"/>
    <pivotField dataField="1" compact="0" outline="0" showAll="0"/>
    <pivotField compact="0" outline="0"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Resolution Time (Hrs)" fld="4" subtotal="average" baseField="0" baseItem="0"/>
    <dataField name="Count of Ticket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D3C6-6AEB-44AD-AAFA-18F64662C1A2}">
  <dimension ref="A1"/>
  <sheetViews>
    <sheetView workbookViewId="0">
      <selection activeCell="A10" sqref="A10"/>
    </sheetView>
  </sheetViews>
  <sheetFormatPr defaultRowHeight="15"/>
  <cols>
    <col min="1" max="1" width="95.85546875" customWidth="1"/>
  </cols>
  <sheetData>
    <row r="1" spans="1:1" ht="409.6">
      <c r="A1" s="5"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775A-7416-4A64-AA48-7FA2FC0A1278}">
  <dimension ref="A3:C12"/>
  <sheetViews>
    <sheetView topLeftCell="A6" workbookViewId="0">
      <selection activeCell="B27" sqref="B27"/>
    </sheetView>
  </sheetViews>
  <sheetFormatPr defaultRowHeight="15"/>
  <cols>
    <col min="1" max="1" width="19.7109375" bestFit="1" customWidth="1"/>
    <col min="2" max="2" width="31.140625" bestFit="1" customWidth="1"/>
    <col min="3" max="3" width="17.140625" bestFit="1" customWidth="1"/>
  </cols>
  <sheetData>
    <row r="3" spans="1:3">
      <c r="A3" s="4" t="s">
        <v>1</v>
      </c>
      <c r="B3" t="s">
        <v>2</v>
      </c>
      <c r="C3" t="s">
        <v>3</v>
      </c>
    </row>
    <row r="4" spans="1:3">
      <c r="A4" t="s">
        <v>4</v>
      </c>
      <c r="B4">
        <v>0.5</v>
      </c>
      <c r="C4">
        <v>1</v>
      </c>
    </row>
    <row r="5" spans="1:3">
      <c r="A5" t="s">
        <v>5</v>
      </c>
      <c r="B5">
        <v>0.5</v>
      </c>
      <c r="C5">
        <v>12</v>
      </c>
    </row>
    <row r="6" spans="1:3">
      <c r="A6" t="s">
        <v>6</v>
      </c>
      <c r="B6">
        <v>1.8</v>
      </c>
      <c r="C6">
        <v>5</v>
      </c>
    </row>
    <row r="7" spans="1:3">
      <c r="A7" t="s">
        <v>7</v>
      </c>
      <c r="B7">
        <v>1</v>
      </c>
      <c r="C7">
        <v>4</v>
      </c>
    </row>
    <row r="8" spans="1:3">
      <c r="A8" t="s">
        <v>8</v>
      </c>
      <c r="B8">
        <v>1.4</v>
      </c>
      <c r="C8">
        <v>5</v>
      </c>
    </row>
    <row r="9" spans="1:3">
      <c r="A9" t="s">
        <v>9</v>
      </c>
      <c r="B9">
        <v>3.125</v>
      </c>
      <c r="C9">
        <v>4</v>
      </c>
    </row>
    <row r="10" spans="1:3">
      <c r="A10" t="s">
        <v>10</v>
      </c>
      <c r="B10">
        <v>0.75</v>
      </c>
      <c r="C10">
        <v>4</v>
      </c>
    </row>
    <row r="11" spans="1:3">
      <c r="A11" t="s">
        <v>11</v>
      </c>
    </row>
    <row r="12" spans="1:3">
      <c r="A12" t="s">
        <v>12</v>
      </c>
      <c r="B12">
        <v>1.2</v>
      </c>
      <c r="C12">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opLeftCell="B1" workbookViewId="0">
      <selection activeCell="C37" sqref="C37"/>
    </sheetView>
  </sheetViews>
  <sheetFormatPr defaultRowHeight="15"/>
  <cols>
    <col min="1" max="3" width="35.28515625" customWidth="1"/>
    <col min="4" max="4" width="41.85546875" bestFit="1" customWidth="1"/>
    <col min="5" max="6" width="20.140625" bestFit="1" customWidth="1"/>
  </cols>
  <sheetData>
    <row r="1" spans="1:6" s="1" customFormat="1">
      <c r="A1" s="1" t="s">
        <v>13</v>
      </c>
      <c r="B1" s="1" t="s">
        <v>14</v>
      </c>
      <c r="C1" s="1" t="s">
        <v>1</v>
      </c>
      <c r="D1" s="1" t="s">
        <v>15</v>
      </c>
      <c r="E1" s="3" t="s">
        <v>16</v>
      </c>
      <c r="F1" s="1" t="s">
        <v>17</v>
      </c>
    </row>
    <row r="2" spans="1:6">
      <c r="A2">
        <v>1005</v>
      </c>
      <c r="B2" s="2">
        <v>46029</v>
      </c>
      <c r="C2" t="s">
        <v>9</v>
      </c>
      <c r="D2" t="s">
        <v>18</v>
      </c>
      <c r="E2">
        <v>4</v>
      </c>
      <c r="F2" t="s">
        <v>19</v>
      </c>
    </row>
    <row r="3" spans="1:6">
      <c r="A3">
        <v>1029</v>
      </c>
      <c r="B3" s="2">
        <v>46045</v>
      </c>
      <c r="C3" t="s">
        <v>9</v>
      </c>
      <c r="D3" t="s">
        <v>20</v>
      </c>
      <c r="E3">
        <v>3.5</v>
      </c>
      <c r="F3" t="s">
        <v>19</v>
      </c>
    </row>
    <row r="4" spans="1:6">
      <c r="A4">
        <v>1013</v>
      </c>
      <c r="B4" s="2">
        <v>46035</v>
      </c>
      <c r="C4" t="s">
        <v>9</v>
      </c>
      <c r="D4" t="s">
        <v>21</v>
      </c>
      <c r="E4">
        <v>3</v>
      </c>
      <c r="F4" t="s">
        <v>19</v>
      </c>
    </row>
    <row r="5" spans="1:6">
      <c r="A5">
        <v>1018</v>
      </c>
      <c r="B5" s="2">
        <v>46037</v>
      </c>
      <c r="C5" t="s">
        <v>6</v>
      </c>
      <c r="D5" t="s">
        <v>22</v>
      </c>
      <c r="E5">
        <v>2.5</v>
      </c>
      <c r="F5" t="s">
        <v>19</v>
      </c>
    </row>
    <row r="6" spans="1:6">
      <c r="A6">
        <v>1002</v>
      </c>
      <c r="B6" s="2">
        <v>46027</v>
      </c>
      <c r="C6" t="s">
        <v>8</v>
      </c>
      <c r="D6" t="s">
        <v>23</v>
      </c>
      <c r="E6">
        <v>2</v>
      </c>
      <c r="F6" t="s">
        <v>19</v>
      </c>
    </row>
    <row r="7" spans="1:6">
      <c r="A7">
        <v>1011</v>
      </c>
      <c r="B7" s="2">
        <v>46034</v>
      </c>
      <c r="C7" t="s">
        <v>6</v>
      </c>
      <c r="D7" t="s">
        <v>24</v>
      </c>
      <c r="E7">
        <v>2</v>
      </c>
      <c r="F7" t="s">
        <v>19</v>
      </c>
    </row>
    <row r="8" spans="1:6">
      <c r="A8">
        <v>1021</v>
      </c>
      <c r="B8" s="2">
        <v>46041</v>
      </c>
      <c r="C8" t="s">
        <v>9</v>
      </c>
      <c r="D8" t="s">
        <v>25</v>
      </c>
      <c r="E8">
        <v>2</v>
      </c>
      <c r="F8" t="s">
        <v>19</v>
      </c>
    </row>
    <row r="9" spans="1:6">
      <c r="A9">
        <v>1003</v>
      </c>
      <c r="B9" s="2">
        <v>46028</v>
      </c>
      <c r="C9" t="s">
        <v>6</v>
      </c>
      <c r="D9" t="s">
        <v>26</v>
      </c>
      <c r="E9">
        <v>1.5</v>
      </c>
      <c r="F9" t="s">
        <v>19</v>
      </c>
    </row>
    <row r="10" spans="1:6">
      <c r="A10">
        <v>1009</v>
      </c>
      <c r="B10" s="2">
        <v>46031</v>
      </c>
      <c r="C10" t="s">
        <v>27</v>
      </c>
      <c r="D10" t="s">
        <v>28</v>
      </c>
      <c r="E10">
        <v>1.5</v>
      </c>
      <c r="F10" t="s">
        <v>19</v>
      </c>
    </row>
    <row r="11" spans="1:6">
      <c r="A11">
        <v>1015</v>
      </c>
      <c r="B11" s="2">
        <v>46036</v>
      </c>
      <c r="C11" t="s">
        <v>7</v>
      </c>
      <c r="D11" t="s">
        <v>29</v>
      </c>
      <c r="E11">
        <v>1.5</v>
      </c>
      <c r="F11" t="s">
        <v>19</v>
      </c>
    </row>
    <row r="12" spans="1:6">
      <c r="A12">
        <v>1020</v>
      </c>
      <c r="B12" s="2">
        <v>46039</v>
      </c>
      <c r="C12" t="s">
        <v>8</v>
      </c>
      <c r="D12" t="s">
        <v>30</v>
      </c>
      <c r="E12">
        <v>1.5</v>
      </c>
      <c r="F12" t="s">
        <v>19</v>
      </c>
    </row>
    <row r="13" spans="1:6">
      <c r="A13">
        <v>1026</v>
      </c>
      <c r="B13" s="2">
        <v>46043</v>
      </c>
      <c r="C13" t="s">
        <v>6</v>
      </c>
      <c r="D13" t="s">
        <v>31</v>
      </c>
      <c r="E13">
        <v>1.5</v>
      </c>
      <c r="F13" t="s">
        <v>19</v>
      </c>
    </row>
    <row r="14" spans="1:6">
      <c r="A14">
        <v>1034</v>
      </c>
      <c r="B14" s="2">
        <v>46049</v>
      </c>
      <c r="C14" t="s">
        <v>6</v>
      </c>
      <c r="D14" t="s">
        <v>32</v>
      </c>
      <c r="E14">
        <v>1.5</v>
      </c>
      <c r="F14" t="s">
        <v>19</v>
      </c>
    </row>
    <row r="15" spans="1:6">
      <c r="A15">
        <v>1006</v>
      </c>
      <c r="B15" s="2">
        <v>46029</v>
      </c>
      <c r="C15" t="s">
        <v>7</v>
      </c>
      <c r="D15" t="s">
        <v>33</v>
      </c>
      <c r="E15">
        <v>1</v>
      </c>
      <c r="F15" t="s">
        <v>19</v>
      </c>
    </row>
    <row r="16" spans="1:6">
      <c r="A16">
        <v>1014</v>
      </c>
      <c r="B16" s="2">
        <v>46035</v>
      </c>
      <c r="C16" t="s">
        <v>8</v>
      </c>
      <c r="D16" t="s">
        <v>34</v>
      </c>
      <c r="E16">
        <v>1</v>
      </c>
      <c r="F16" t="s">
        <v>19</v>
      </c>
    </row>
    <row r="17" spans="1:6">
      <c r="A17">
        <v>1024</v>
      </c>
      <c r="B17" s="2">
        <v>46042</v>
      </c>
      <c r="C17" t="s">
        <v>10</v>
      </c>
      <c r="D17" t="s">
        <v>35</v>
      </c>
      <c r="E17">
        <v>1</v>
      </c>
      <c r="F17" t="s">
        <v>19</v>
      </c>
    </row>
    <row r="18" spans="1:6">
      <c r="A18">
        <v>1027</v>
      </c>
      <c r="B18" s="2">
        <v>46044</v>
      </c>
      <c r="C18" t="s">
        <v>8</v>
      </c>
      <c r="D18" t="s">
        <v>36</v>
      </c>
      <c r="E18">
        <v>1</v>
      </c>
      <c r="F18" t="s">
        <v>19</v>
      </c>
    </row>
    <row r="19" spans="1:6">
      <c r="A19">
        <v>1031</v>
      </c>
      <c r="B19" s="2">
        <v>46048</v>
      </c>
      <c r="C19" t="s">
        <v>10</v>
      </c>
      <c r="D19" t="s">
        <v>37</v>
      </c>
      <c r="E19">
        <v>1</v>
      </c>
      <c r="F19" t="s">
        <v>19</v>
      </c>
    </row>
    <row r="20" spans="1:6">
      <c r="A20">
        <v>1033</v>
      </c>
      <c r="B20" s="2">
        <v>46049</v>
      </c>
      <c r="C20" t="s">
        <v>7</v>
      </c>
      <c r="D20" t="s">
        <v>38</v>
      </c>
      <c r="E20">
        <v>1</v>
      </c>
      <c r="F20" t="s">
        <v>19</v>
      </c>
    </row>
    <row r="21" spans="1:6">
      <c r="A21">
        <v>1001</v>
      </c>
      <c r="B21" s="2">
        <v>46027</v>
      </c>
      <c r="C21" t="s">
        <v>5</v>
      </c>
      <c r="D21" t="s">
        <v>39</v>
      </c>
      <c r="E21">
        <v>0.5</v>
      </c>
      <c r="F21" t="s">
        <v>19</v>
      </c>
    </row>
    <row r="22" spans="1:6">
      <c r="A22">
        <v>1004</v>
      </c>
      <c r="B22" s="2">
        <v>46028</v>
      </c>
      <c r="C22" t="s">
        <v>5</v>
      </c>
      <c r="D22" t="s">
        <v>40</v>
      </c>
      <c r="E22">
        <v>0.5</v>
      </c>
      <c r="F22" t="s">
        <v>19</v>
      </c>
    </row>
    <row r="23" spans="1:6">
      <c r="A23">
        <v>1007</v>
      </c>
      <c r="B23" s="2">
        <v>46030</v>
      </c>
      <c r="C23" t="s">
        <v>5</v>
      </c>
      <c r="D23" t="s">
        <v>41</v>
      </c>
      <c r="E23">
        <v>0.5</v>
      </c>
      <c r="F23" t="s">
        <v>19</v>
      </c>
    </row>
    <row r="24" spans="1:6">
      <c r="A24">
        <v>1008</v>
      </c>
      <c r="B24" s="2">
        <v>46030</v>
      </c>
      <c r="C24" t="s">
        <v>10</v>
      </c>
      <c r="D24" t="s">
        <v>42</v>
      </c>
      <c r="E24">
        <v>0.5</v>
      </c>
      <c r="F24" t="s">
        <v>19</v>
      </c>
    </row>
    <row r="25" spans="1:6">
      <c r="A25">
        <v>1010</v>
      </c>
      <c r="B25" s="2">
        <v>46031</v>
      </c>
      <c r="C25" t="s">
        <v>5</v>
      </c>
      <c r="D25" t="s">
        <v>43</v>
      </c>
      <c r="E25">
        <v>0.5</v>
      </c>
      <c r="F25" t="s">
        <v>19</v>
      </c>
    </row>
    <row r="26" spans="1:6">
      <c r="A26">
        <v>1012</v>
      </c>
      <c r="B26" s="2">
        <v>46034</v>
      </c>
      <c r="C26" t="s">
        <v>5</v>
      </c>
      <c r="D26" t="s">
        <v>44</v>
      </c>
      <c r="E26">
        <v>0.5</v>
      </c>
      <c r="F26" t="s">
        <v>19</v>
      </c>
    </row>
    <row r="27" spans="1:6">
      <c r="A27">
        <v>1016</v>
      </c>
      <c r="B27" s="2">
        <v>46036</v>
      </c>
      <c r="C27" t="s">
        <v>5</v>
      </c>
      <c r="D27" t="s">
        <v>45</v>
      </c>
      <c r="E27">
        <v>0.5</v>
      </c>
      <c r="F27" t="s">
        <v>19</v>
      </c>
    </row>
    <row r="28" spans="1:6">
      <c r="A28">
        <v>1017</v>
      </c>
      <c r="B28" s="2">
        <v>46037</v>
      </c>
      <c r="C28" t="s">
        <v>10</v>
      </c>
      <c r="D28" t="s">
        <v>46</v>
      </c>
      <c r="E28">
        <v>0.5</v>
      </c>
      <c r="F28" t="s">
        <v>19</v>
      </c>
    </row>
    <row r="29" spans="1:6">
      <c r="A29">
        <v>1019</v>
      </c>
      <c r="B29" s="2">
        <v>46038</v>
      </c>
      <c r="C29" t="s">
        <v>5</v>
      </c>
      <c r="D29" t="s">
        <v>47</v>
      </c>
      <c r="E29">
        <v>0.5</v>
      </c>
      <c r="F29" t="s">
        <v>19</v>
      </c>
    </row>
    <row r="30" spans="1:6">
      <c r="A30">
        <v>1022</v>
      </c>
      <c r="B30" s="2">
        <v>46041</v>
      </c>
      <c r="C30" t="s">
        <v>5</v>
      </c>
      <c r="D30" t="s">
        <v>48</v>
      </c>
      <c r="E30">
        <v>0.5</v>
      </c>
      <c r="F30" t="s">
        <v>19</v>
      </c>
    </row>
    <row r="31" spans="1:6">
      <c r="A31">
        <v>1023</v>
      </c>
      <c r="B31" s="2">
        <v>46042</v>
      </c>
      <c r="C31" t="s">
        <v>7</v>
      </c>
      <c r="D31" t="s">
        <v>49</v>
      </c>
      <c r="E31">
        <v>0.5</v>
      </c>
      <c r="F31" t="s">
        <v>19</v>
      </c>
    </row>
    <row r="32" spans="1:6">
      <c r="A32">
        <v>1025</v>
      </c>
      <c r="B32" s="2">
        <v>46043</v>
      </c>
      <c r="C32" t="s">
        <v>5</v>
      </c>
      <c r="D32" t="s">
        <v>50</v>
      </c>
      <c r="E32">
        <v>0.5</v>
      </c>
      <c r="F32" t="s">
        <v>19</v>
      </c>
    </row>
    <row r="33" spans="1:6">
      <c r="A33">
        <v>1028</v>
      </c>
      <c r="B33" s="2">
        <v>46044</v>
      </c>
      <c r="C33" t="s">
        <v>5</v>
      </c>
      <c r="D33" t="s">
        <v>51</v>
      </c>
      <c r="E33">
        <v>0.5</v>
      </c>
      <c r="F33" t="s">
        <v>19</v>
      </c>
    </row>
    <row r="34" spans="1:6">
      <c r="A34">
        <v>1030</v>
      </c>
      <c r="B34" s="2">
        <v>46045</v>
      </c>
      <c r="C34" t="s">
        <v>5</v>
      </c>
      <c r="D34" t="s">
        <v>52</v>
      </c>
      <c r="E34">
        <v>0.5</v>
      </c>
      <c r="F34" t="s">
        <v>19</v>
      </c>
    </row>
    <row r="35" spans="1:6">
      <c r="A35">
        <v>1032</v>
      </c>
      <c r="B35" s="2">
        <v>46048</v>
      </c>
      <c r="C35" t="s">
        <v>5</v>
      </c>
      <c r="D35" t="s">
        <v>53</v>
      </c>
      <c r="E35">
        <v>0.5</v>
      </c>
      <c r="F35" t="s">
        <v>19</v>
      </c>
    </row>
    <row r="36" spans="1:6">
      <c r="A36">
        <v>1035</v>
      </c>
      <c r="B36" s="2">
        <v>46050</v>
      </c>
      <c r="C36" t="s">
        <v>5</v>
      </c>
      <c r="D36" t="s">
        <v>54</v>
      </c>
      <c r="E36">
        <v>0.5</v>
      </c>
      <c r="F36" t="s">
        <v>19</v>
      </c>
    </row>
  </sheetData>
  <autoFilter ref="A1:F36" xr:uid="{00000000-0001-0000-0000-000000000000}">
    <sortState xmlns:xlrd2="http://schemas.microsoft.com/office/spreadsheetml/2017/richdata2" ref="A2:F36">
      <sortCondition descending="1" ref="E1:E3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2026-06-15T17:53:42Z</dcterms:created>
  <dcterms:modified xsi:type="dcterms:W3CDTF">2026-06-15T18:51:41Z</dcterms:modified>
  <cp:category/>
  <cp:contentStatus/>
</cp:coreProperties>
</file>